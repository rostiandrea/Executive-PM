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se-my.sharepoint.com/personal/arosti_arcese_com/Documents/Desktop/"/>
    </mc:Choice>
  </mc:AlternateContent>
  <xr:revisionPtr revIDLastSave="0" documentId="8_{28C6AD93-9E3D-488F-A50E-A5721F021E80}" xr6:coauthVersionLast="47" xr6:coauthVersionMax="47" xr10:uidLastSave="{00000000-0000-0000-0000-000000000000}"/>
  <bookViews>
    <workbookView xWindow="28680" yWindow="-150" windowWidth="29040" windowHeight="17520" xr2:uid="{B8BEA1DF-A2FD-428A-9328-917D017F0FE2}"/>
  </bookViews>
  <sheets>
    <sheet name="IT Cos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0" i="2"/>
  <c r="F6" i="2"/>
  <c r="G59" i="2"/>
  <c r="G58" i="2"/>
  <c r="F62" i="2"/>
  <c r="F61" i="2"/>
  <c r="F66" i="2" s="1"/>
  <c r="F51" i="2"/>
  <c r="F49" i="2"/>
  <c r="F45" i="2"/>
  <c r="F44" i="2"/>
  <c r="G56" i="2"/>
  <c r="G55" i="2"/>
  <c r="G51" i="2"/>
  <c r="G49" i="2"/>
  <c r="G48" i="2"/>
  <c r="G47" i="2"/>
  <c r="G46" i="2"/>
  <c r="G43" i="2"/>
  <c r="G42" i="2"/>
  <c r="G41" i="2"/>
  <c r="C56" i="2"/>
  <c r="C55" i="2"/>
  <c r="C45" i="2"/>
  <c r="C44" i="2"/>
  <c r="G66" i="2" l="1"/>
</calcChain>
</file>

<file path=xl/sharedStrings.xml><?xml version="1.0" encoding="utf-8"?>
<sst xmlns="http://schemas.openxmlformats.org/spreadsheetml/2006/main" count="109" uniqueCount="72">
  <si>
    <t>Solution Design</t>
  </si>
  <si>
    <t>T&amp;T</t>
  </si>
  <si>
    <t>Unit costs</t>
  </si>
  <si>
    <t>Total costs</t>
  </si>
  <si>
    <t>START-UP</t>
  </si>
  <si>
    <t>RUNNING (yearly)</t>
  </si>
  <si>
    <t>WMS Activation</t>
  </si>
  <si>
    <t>WMS Arcese</t>
  </si>
  <si>
    <t>Y/N</t>
  </si>
  <si>
    <t>WMS Customer</t>
  </si>
  <si>
    <t>WMS Integration</t>
  </si>
  <si>
    <t>Number of Easy Interface(s)</t>
  </si>
  <si>
    <t>Number of Medium Interface(s)</t>
  </si>
  <si>
    <t>Number of Hard Interface(s)</t>
  </si>
  <si>
    <t>Description of Interface(s) requested</t>
  </si>
  <si>
    <t>WMS Reporting</t>
  </si>
  <si>
    <t>Number of Ad-Hoc Report(s) &amp; KPI(s)</t>
  </si>
  <si>
    <t>Description of reporting requested</t>
  </si>
  <si>
    <t>WMS Customization</t>
  </si>
  <si>
    <t>Arcese Customization - Number of Working Days</t>
  </si>
  <si>
    <t>Description of customizazion requested</t>
  </si>
  <si>
    <t>Sizing</t>
  </si>
  <si>
    <t>Location</t>
  </si>
  <si>
    <t>Warehouse dimensions (m2)</t>
  </si>
  <si>
    <t>Office (m2)</t>
  </si>
  <si>
    <t>Cabling</t>
  </si>
  <si>
    <t>Warehouse Cabling</t>
  </si>
  <si>
    <t>Warehouse Cabling (€)</t>
  </si>
  <si>
    <t>FTE</t>
  </si>
  <si>
    <t>Number of Blue Collar</t>
  </si>
  <si>
    <t xml:space="preserve">Number of White Collar </t>
  </si>
  <si>
    <t>Number of Support function (Quality, Engineer...)</t>
  </si>
  <si>
    <t>Number of Contract Manager</t>
  </si>
  <si>
    <t>Connectivity</t>
  </si>
  <si>
    <t>Small</t>
  </si>
  <si>
    <t>Medium</t>
  </si>
  <si>
    <t>Large</t>
  </si>
  <si>
    <t>VPN</t>
  </si>
  <si>
    <t>Network Device</t>
  </si>
  <si>
    <t>End-User Device</t>
  </si>
  <si>
    <t xml:space="preserve">Number of Laptop standard </t>
  </si>
  <si>
    <t>Number of Laptop pro</t>
  </si>
  <si>
    <t>Number of Desktop</t>
  </si>
  <si>
    <t>Number of Monitor</t>
  </si>
  <si>
    <t>Number of Multi-functional printer b/n</t>
  </si>
  <si>
    <t>Number of Multi-functional printer color</t>
  </si>
  <si>
    <t>Number of Laser printer</t>
  </si>
  <si>
    <t>Number of Thermal printer</t>
  </si>
  <si>
    <t>Number of Mobile thermal printer</t>
  </si>
  <si>
    <t>Number of Radio-frequency scanner device, accessories and maintenance</t>
  </si>
  <si>
    <t>Number of Barcode wired scanner</t>
  </si>
  <si>
    <t>Number of Barcode wireless scanner</t>
  </si>
  <si>
    <t>Number of TV Monitor</t>
  </si>
  <si>
    <t>Number of MS Office license</t>
  </si>
  <si>
    <t>Number of Parallels license</t>
  </si>
  <si>
    <t>Effort</t>
  </si>
  <si>
    <t>Internal</t>
  </si>
  <si>
    <t>External</t>
  </si>
  <si>
    <t>Special requests</t>
  </si>
  <si>
    <t>Yes</t>
  </si>
  <si>
    <t>Basiano e Nola</t>
  </si>
  <si>
    <t>Basiano 4.500mq, Nola 3.000mq</t>
  </si>
  <si>
    <t>Basiano 5, Nola 5</t>
  </si>
  <si>
    <t>Basiano 1, Nola 1</t>
  </si>
  <si>
    <t>No</t>
  </si>
  <si>
    <t>anagrafiche, giacenze, ordini da evadere, conferme di spedizione e dati di inventario</t>
  </si>
  <si>
    <t xml:space="preserve">-   € </t>
  </si>
  <si>
    <t xml:space="preserve"> -   € </t>
  </si>
  <si>
    <t>Cyber</t>
  </si>
  <si>
    <t xml:space="preserve">Email security </t>
  </si>
  <si>
    <t>Formazione cybersecurity</t>
  </si>
  <si>
    <t>Number of Docking and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</si>
</sst>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8" fontId="4" fillId="0" borderId="2" xfId="0" applyNumberFormat="1" applyFont="1" applyBorder="1" applyAlignment="1">
      <alignment horizontal="right" vertical="center"/>
    </xf>
    <xf numFmtId="8" fontId="4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8" fontId="4" fillId="0" borderId="6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4" fontId="0" fillId="4" borderId="6" xfId="1" applyFont="1" applyFill="1" applyBorder="1" applyAlignment="1">
      <alignment horizontal="center" vertical="center"/>
    </xf>
    <xf numFmtId="44" fontId="0" fillId="4" borderId="7" xfId="1" applyFont="1" applyFill="1" applyBorder="1" applyAlignment="1">
      <alignment horizontal="center" vertical="center"/>
    </xf>
    <xf numFmtId="44" fontId="0" fillId="4" borderId="3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4" borderId="6" xfId="1" applyNumberFormat="1" applyFont="1" applyFill="1" applyBorder="1" applyAlignment="1">
      <alignment horizontal="center" vertical="center"/>
    </xf>
    <xf numFmtId="2" fontId="0" fillId="4" borderId="7" xfId="1" applyNumberFormat="1" applyFont="1" applyFill="1" applyBorder="1" applyAlignment="1">
      <alignment horizontal="center" vertical="center"/>
    </xf>
    <xf numFmtId="2" fontId="0" fillId="4" borderId="3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DEBA-2E8F-4BC5-8EB9-C6E2FA657BC2}">
  <dimension ref="A1:G66"/>
  <sheetViews>
    <sheetView showGridLines="0" tabSelected="1" topLeftCell="A4" zoomScale="160" zoomScaleNormal="160" workbookViewId="0">
      <selection activeCell="C15" sqref="C15:G15"/>
    </sheetView>
  </sheetViews>
  <sheetFormatPr defaultRowHeight="15" x14ac:dyDescent="0.25"/>
  <cols>
    <col min="1" max="1" width="18.85546875" customWidth="1"/>
    <col min="2" max="2" width="45.5703125" style="1" customWidth="1"/>
    <col min="3" max="3" width="5.7109375" customWidth="1"/>
    <col min="4" max="7" width="18.5703125" customWidth="1"/>
    <col min="8" max="8" width="60" customWidth="1"/>
  </cols>
  <sheetData>
    <row r="1" spans="1:7" x14ac:dyDescent="0.25">
      <c r="C1" s="4"/>
      <c r="D1" t="s">
        <v>0</v>
      </c>
    </row>
    <row r="2" spans="1:7" x14ac:dyDescent="0.25">
      <c r="C2" s="3"/>
      <c r="D2" t="s">
        <v>1</v>
      </c>
    </row>
    <row r="4" spans="1:7" x14ac:dyDescent="0.25">
      <c r="D4" s="36" t="s">
        <v>2</v>
      </c>
      <c r="E4" s="37"/>
      <c r="F4" s="44" t="s">
        <v>3</v>
      </c>
      <c r="G4" s="36"/>
    </row>
    <row r="5" spans="1:7" x14ac:dyDescent="0.25">
      <c r="D5" s="10" t="s">
        <v>4</v>
      </c>
      <c r="E5" s="13" t="s">
        <v>5</v>
      </c>
      <c r="F5" s="11" t="s">
        <v>4</v>
      </c>
      <c r="G5" s="10" t="s">
        <v>5</v>
      </c>
    </row>
    <row r="6" spans="1:7" x14ac:dyDescent="0.25">
      <c r="A6" s="35" t="s">
        <v>6</v>
      </c>
      <c r="B6" s="15" t="s">
        <v>7</v>
      </c>
      <c r="C6" s="2" t="s">
        <v>59</v>
      </c>
      <c r="D6" s="7">
        <v>0</v>
      </c>
      <c r="E6" s="14">
        <v>0</v>
      </c>
      <c r="F6" s="12">
        <f>5*300</f>
        <v>1500</v>
      </c>
      <c r="G6" s="7">
        <v>0</v>
      </c>
    </row>
    <row r="7" spans="1:7" x14ac:dyDescent="0.25">
      <c r="A7" s="35"/>
      <c r="B7" s="15" t="s">
        <v>9</v>
      </c>
      <c r="C7" s="2" t="s">
        <v>64</v>
      </c>
      <c r="D7" s="7">
        <v>0</v>
      </c>
      <c r="E7" s="14">
        <v>0</v>
      </c>
      <c r="F7" s="12">
        <v>0</v>
      </c>
      <c r="G7" s="7">
        <v>0</v>
      </c>
    </row>
    <row r="8" spans="1:7" ht="3" customHeight="1" x14ac:dyDescent="0.25"/>
    <row r="9" spans="1:7" ht="15" customHeight="1" x14ac:dyDescent="0.25">
      <c r="A9" s="35" t="s">
        <v>10</v>
      </c>
      <c r="B9" s="15" t="s">
        <v>11</v>
      </c>
      <c r="C9" s="3"/>
      <c r="D9" s="7">
        <v>0</v>
      </c>
      <c r="E9" s="14">
        <v>0</v>
      </c>
      <c r="F9" s="12">
        <v>0</v>
      </c>
      <c r="G9" s="7">
        <v>0</v>
      </c>
    </row>
    <row r="10" spans="1:7" x14ac:dyDescent="0.25">
      <c r="A10" s="35"/>
      <c r="B10" s="15" t="s">
        <v>12</v>
      </c>
      <c r="C10" s="3">
        <v>5</v>
      </c>
      <c r="D10" s="7">
        <v>0</v>
      </c>
      <c r="E10" s="14">
        <v>0</v>
      </c>
      <c r="F10" s="12">
        <f>15*300</f>
        <v>4500</v>
      </c>
      <c r="G10" s="7">
        <v>0</v>
      </c>
    </row>
    <row r="11" spans="1:7" x14ac:dyDescent="0.25">
      <c r="A11" s="35"/>
      <c r="B11" s="15" t="s">
        <v>13</v>
      </c>
      <c r="C11" s="3"/>
      <c r="D11" s="7">
        <v>0</v>
      </c>
      <c r="E11" s="14">
        <v>0</v>
      </c>
      <c r="F11" s="12">
        <v>0</v>
      </c>
      <c r="G11" s="7">
        <v>0</v>
      </c>
    </row>
    <row r="12" spans="1:7" x14ac:dyDescent="0.25">
      <c r="A12" s="35"/>
      <c r="B12" s="15" t="s">
        <v>14</v>
      </c>
      <c r="C12" s="30" t="s">
        <v>65</v>
      </c>
      <c r="D12" s="31"/>
      <c r="E12" s="31"/>
      <c r="F12" s="31"/>
      <c r="G12" s="32"/>
    </row>
    <row r="13" spans="1:7" ht="3" customHeight="1" x14ac:dyDescent="0.25"/>
    <row r="14" spans="1:7" x14ac:dyDescent="0.25">
      <c r="A14" s="28" t="s">
        <v>15</v>
      </c>
      <c r="B14" s="15" t="s">
        <v>16</v>
      </c>
      <c r="C14" s="3"/>
      <c r="D14" s="7">
        <v>0</v>
      </c>
      <c r="E14" s="14">
        <v>0</v>
      </c>
      <c r="F14" s="12">
        <f>10*300</f>
        <v>3000</v>
      </c>
      <c r="G14" s="7">
        <v>0</v>
      </c>
    </row>
    <row r="15" spans="1:7" x14ac:dyDescent="0.25">
      <c r="A15" s="29"/>
      <c r="B15" s="15" t="s">
        <v>17</v>
      </c>
      <c r="C15" s="30"/>
      <c r="D15" s="31"/>
      <c r="E15" s="31"/>
      <c r="F15" s="31"/>
      <c r="G15" s="32"/>
    </row>
    <row r="16" spans="1:7" ht="3" customHeight="1" x14ac:dyDescent="0.25"/>
    <row r="17" spans="1:7" x14ac:dyDescent="0.25">
      <c r="A17" s="33" t="s">
        <v>18</v>
      </c>
      <c r="B17" s="15" t="s">
        <v>19</v>
      </c>
      <c r="C17" s="3"/>
      <c r="D17" s="7">
        <v>0</v>
      </c>
      <c r="E17" s="14">
        <v>0</v>
      </c>
      <c r="F17" s="12">
        <v>0</v>
      </c>
      <c r="G17" s="7">
        <v>0</v>
      </c>
    </row>
    <row r="18" spans="1:7" x14ac:dyDescent="0.25">
      <c r="A18" s="34"/>
      <c r="B18" s="15" t="s">
        <v>20</v>
      </c>
      <c r="C18" s="30"/>
      <c r="D18" s="31"/>
      <c r="E18" s="31"/>
      <c r="F18" s="31"/>
      <c r="G18" s="32"/>
    </row>
    <row r="19" spans="1:7" ht="3" customHeight="1" x14ac:dyDescent="0.25"/>
    <row r="20" spans="1:7" x14ac:dyDescent="0.25">
      <c r="A20" s="35" t="s">
        <v>21</v>
      </c>
      <c r="B20" s="15" t="s">
        <v>22</v>
      </c>
      <c r="C20" s="30" t="s">
        <v>60</v>
      </c>
      <c r="D20" s="31"/>
      <c r="E20" s="31"/>
      <c r="F20" s="31"/>
      <c r="G20" s="32"/>
    </row>
    <row r="21" spans="1:7" x14ac:dyDescent="0.25">
      <c r="A21" s="35"/>
      <c r="B21" s="15" t="s">
        <v>23</v>
      </c>
      <c r="C21" s="30" t="s">
        <v>61</v>
      </c>
      <c r="D21" s="31"/>
      <c r="E21" s="31"/>
      <c r="F21" s="31"/>
      <c r="G21" s="32"/>
    </row>
    <row r="22" spans="1:7" x14ac:dyDescent="0.25">
      <c r="A22" s="35"/>
      <c r="B22" s="15" t="s">
        <v>24</v>
      </c>
      <c r="C22" s="30"/>
      <c r="D22" s="31"/>
      <c r="E22" s="31"/>
      <c r="F22" s="31"/>
      <c r="G22" s="32"/>
    </row>
    <row r="23" spans="1:7" ht="3" customHeight="1" x14ac:dyDescent="0.25"/>
    <row r="24" spans="1:7" x14ac:dyDescent="0.25">
      <c r="A24" s="33" t="s">
        <v>25</v>
      </c>
      <c r="B24" s="15" t="s">
        <v>26</v>
      </c>
      <c r="C24" s="5" t="s">
        <v>8</v>
      </c>
      <c r="D24" s="7">
        <v>0</v>
      </c>
      <c r="E24" s="14">
        <v>0</v>
      </c>
      <c r="F24" s="12">
        <v>0</v>
      </c>
      <c r="G24" s="7">
        <v>0</v>
      </c>
    </row>
    <row r="25" spans="1:7" x14ac:dyDescent="0.25">
      <c r="A25" s="34"/>
      <c r="B25" s="15" t="s">
        <v>27</v>
      </c>
      <c r="C25" s="3"/>
      <c r="D25" s="7">
        <v>0</v>
      </c>
      <c r="E25" s="14">
        <v>0</v>
      </c>
      <c r="F25" s="12">
        <v>0</v>
      </c>
      <c r="G25" s="7">
        <v>0</v>
      </c>
    </row>
    <row r="26" spans="1:7" ht="3" customHeight="1" x14ac:dyDescent="0.25"/>
    <row r="27" spans="1:7" x14ac:dyDescent="0.25">
      <c r="A27" s="35" t="s">
        <v>28</v>
      </c>
      <c r="B27" s="15" t="s">
        <v>29</v>
      </c>
      <c r="C27" s="30" t="s">
        <v>62</v>
      </c>
      <c r="D27" s="31"/>
      <c r="E27" s="31"/>
      <c r="F27" s="31"/>
      <c r="G27" s="32"/>
    </row>
    <row r="28" spans="1:7" x14ac:dyDescent="0.25">
      <c r="A28" s="35"/>
      <c r="B28" s="15" t="s">
        <v>30</v>
      </c>
      <c r="C28" s="30" t="s">
        <v>63</v>
      </c>
      <c r="D28" s="31"/>
      <c r="E28" s="31"/>
      <c r="F28" s="31"/>
      <c r="G28" s="32"/>
    </row>
    <row r="29" spans="1:7" x14ac:dyDescent="0.25">
      <c r="A29" s="35"/>
      <c r="B29" s="15" t="s">
        <v>31</v>
      </c>
      <c r="C29" s="38">
        <v>0</v>
      </c>
      <c r="D29" s="39"/>
      <c r="E29" s="39"/>
      <c r="F29" s="39"/>
      <c r="G29" s="40"/>
    </row>
    <row r="30" spans="1:7" x14ac:dyDescent="0.25">
      <c r="A30" s="35"/>
      <c r="B30" s="15" t="s">
        <v>32</v>
      </c>
      <c r="C30" s="38">
        <v>1</v>
      </c>
      <c r="D30" s="39"/>
      <c r="E30" s="39"/>
      <c r="F30" s="39"/>
      <c r="G30" s="40"/>
    </row>
    <row r="31" spans="1:7" ht="3" customHeight="1" x14ac:dyDescent="0.25"/>
    <row r="32" spans="1:7" x14ac:dyDescent="0.25">
      <c r="A32" s="35" t="s">
        <v>33</v>
      </c>
      <c r="B32" s="15" t="s">
        <v>34</v>
      </c>
      <c r="C32" s="3"/>
      <c r="D32" s="7">
        <v>0</v>
      </c>
      <c r="E32" s="14">
        <v>0</v>
      </c>
      <c r="F32" s="12">
        <v>3000</v>
      </c>
      <c r="G32" s="7">
        <v>6000</v>
      </c>
    </row>
    <row r="33" spans="1:7" x14ac:dyDescent="0.25">
      <c r="A33" s="35"/>
      <c r="B33" s="15" t="s">
        <v>35</v>
      </c>
      <c r="C33" s="3"/>
      <c r="D33" s="7">
        <v>0</v>
      </c>
      <c r="E33" s="14">
        <v>0</v>
      </c>
      <c r="F33" s="12">
        <v>0</v>
      </c>
      <c r="G33" s="7">
        <v>0</v>
      </c>
    </row>
    <row r="34" spans="1:7" x14ac:dyDescent="0.25">
      <c r="A34" s="35"/>
      <c r="B34" s="15" t="s">
        <v>36</v>
      </c>
      <c r="C34" s="3"/>
      <c r="D34" s="7">
        <v>0</v>
      </c>
      <c r="E34" s="14">
        <v>0</v>
      </c>
      <c r="F34" s="12">
        <v>0</v>
      </c>
      <c r="G34" s="7">
        <v>0</v>
      </c>
    </row>
    <row r="35" spans="1:7" x14ac:dyDescent="0.25">
      <c r="A35" s="35"/>
      <c r="B35" s="15" t="s">
        <v>37</v>
      </c>
      <c r="C35" s="2" t="s">
        <v>64</v>
      </c>
      <c r="D35" s="7">
        <v>0</v>
      </c>
      <c r="E35" s="14">
        <v>0</v>
      </c>
      <c r="F35" s="12">
        <v>0</v>
      </c>
      <c r="G35" s="7">
        <v>0</v>
      </c>
    </row>
    <row r="36" spans="1:7" ht="3" customHeight="1" x14ac:dyDescent="0.25"/>
    <row r="37" spans="1:7" x14ac:dyDescent="0.25">
      <c r="A37" s="35" t="s">
        <v>38</v>
      </c>
      <c r="B37" s="15" t="s">
        <v>34</v>
      </c>
      <c r="C37" s="3"/>
      <c r="D37" s="7">
        <v>0</v>
      </c>
      <c r="E37" s="14">
        <v>0</v>
      </c>
      <c r="F37" s="14">
        <v>0</v>
      </c>
      <c r="G37" s="14">
        <v>0</v>
      </c>
    </row>
    <row r="38" spans="1:7" x14ac:dyDescent="0.25">
      <c r="A38" s="35"/>
      <c r="B38" s="15" t="s">
        <v>35</v>
      </c>
      <c r="C38" s="3"/>
      <c r="D38" s="7">
        <v>0</v>
      </c>
      <c r="E38" s="14">
        <v>0</v>
      </c>
      <c r="F38" s="12">
        <v>15000</v>
      </c>
      <c r="G38" s="7">
        <v>1000</v>
      </c>
    </row>
    <row r="39" spans="1:7" x14ac:dyDescent="0.25">
      <c r="A39" s="35"/>
      <c r="B39" s="15" t="s">
        <v>36</v>
      </c>
      <c r="C39" s="3"/>
      <c r="D39" s="7">
        <v>0</v>
      </c>
      <c r="E39" s="14">
        <v>0</v>
      </c>
      <c r="F39" s="12">
        <v>0</v>
      </c>
      <c r="G39" s="7">
        <v>0</v>
      </c>
    </row>
    <row r="40" spans="1:7" ht="3" customHeight="1" x14ac:dyDescent="0.25"/>
    <row r="41" spans="1:7" x14ac:dyDescent="0.25">
      <c r="A41" s="41" t="s">
        <v>39</v>
      </c>
      <c r="B41" s="20" t="s">
        <v>40</v>
      </c>
      <c r="C41" s="21">
        <v>2</v>
      </c>
      <c r="D41" s="16"/>
      <c r="E41" s="17">
        <v>300</v>
      </c>
      <c r="F41" s="22" t="s">
        <v>66</v>
      </c>
      <c r="G41" s="23">
        <f>C41*E41</f>
        <v>600</v>
      </c>
    </row>
    <row r="42" spans="1:7" x14ac:dyDescent="0.25">
      <c r="A42" s="43"/>
      <c r="B42" s="20" t="s">
        <v>41</v>
      </c>
      <c r="C42" s="21">
        <v>0</v>
      </c>
      <c r="D42" s="16"/>
      <c r="E42" s="17">
        <v>500</v>
      </c>
      <c r="F42" s="22" t="s">
        <v>66</v>
      </c>
      <c r="G42" s="23">
        <f>C42*E42</f>
        <v>0</v>
      </c>
    </row>
    <row r="43" spans="1:7" x14ac:dyDescent="0.25">
      <c r="A43" s="43"/>
      <c r="B43" s="20" t="s">
        <v>42</v>
      </c>
      <c r="C43" s="21">
        <v>4</v>
      </c>
      <c r="D43" s="16"/>
      <c r="E43" s="17">
        <v>300</v>
      </c>
      <c r="F43" s="22" t="s">
        <v>66</v>
      </c>
      <c r="G43" s="23">
        <f>C43*E43</f>
        <v>1200</v>
      </c>
    </row>
    <row r="44" spans="1:7" x14ac:dyDescent="0.25">
      <c r="A44" s="43"/>
      <c r="B44" s="20" t="s">
        <v>43</v>
      </c>
      <c r="C44" s="21">
        <f>C43+C41</f>
        <v>6</v>
      </c>
      <c r="D44" s="18">
        <v>200</v>
      </c>
      <c r="E44" s="19"/>
      <c r="F44" s="24">
        <f>C44*D44</f>
        <v>1200</v>
      </c>
      <c r="G44" s="22" t="s">
        <v>67</v>
      </c>
    </row>
    <row r="45" spans="1:7" x14ac:dyDescent="0.25">
      <c r="A45" s="43"/>
      <c r="B45" s="20" t="s">
        <v>71</v>
      </c>
      <c r="C45" s="21">
        <f>C44</f>
        <v>6</v>
      </c>
      <c r="D45" s="18">
        <v>200</v>
      </c>
      <c r="E45" s="19"/>
      <c r="F45" s="24">
        <f>C45*D45</f>
        <v>1200</v>
      </c>
      <c r="G45" s="22" t="s">
        <v>67</v>
      </c>
    </row>
    <row r="46" spans="1:7" x14ac:dyDescent="0.25">
      <c r="A46" s="43"/>
      <c r="B46" s="20" t="s">
        <v>44</v>
      </c>
      <c r="C46" s="21">
        <v>2</v>
      </c>
      <c r="D46" s="16"/>
      <c r="E46" s="17">
        <v>850</v>
      </c>
      <c r="F46" s="22" t="s">
        <v>66</v>
      </c>
      <c r="G46" s="23">
        <f>C46*E46</f>
        <v>1700</v>
      </c>
    </row>
    <row r="47" spans="1:7" x14ac:dyDescent="0.25">
      <c r="A47" s="43"/>
      <c r="B47" s="20" t="s">
        <v>45</v>
      </c>
      <c r="C47" s="21"/>
      <c r="D47" s="16"/>
      <c r="E47" s="19"/>
      <c r="F47" s="22" t="s">
        <v>66</v>
      </c>
      <c r="G47" s="23">
        <f>C47*E47</f>
        <v>0</v>
      </c>
    </row>
    <row r="48" spans="1:7" x14ac:dyDescent="0.25">
      <c r="A48" s="43"/>
      <c r="B48" s="20" t="s">
        <v>46</v>
      </c>
      <c r="C48" s="21">
        <v>2</v>
      </c>
      <c r="D48" s="16"/>
      <c r="E48" s="17">
        <v>300</v>
      </c>
      <c r="F48" s="22" t="s">
        <v>66</v>
      </c>
      <c r="G48" s="23">
        <f>C48*E48</f>
        <v>600</v>
      </c>
    </row>
    <row r="49" spans="1:7" x14ac:dyDescent="0.25">
      <c r="A49" s="43"/>
      <c r="B49" s="20" t="s">
        <v>47</v>
      </c>
      <c r="C49" s="21">
        <v>4</v>
      </c>
      <c r="D49" s="18">
        <v>1000</v>
      </c>
      <c r="E49" s="17">
        <v>100</v>
      </c>
      <c r="F49" s="24">
        <f>C49*D49</f>
        <v>4000</v>
      </c>
      <c r="G49" s="23">
        <f>C49*E49</f>
        <v>400</v>
      </c>
    </row>
    <row r="50" spans="1:7" x14ac:dyDescent="0.25">
      <c r="A50" s="43"/>
      <c r="B50" s="20" t="s">
        <v>48</v>
      </c>
      <c r="C50" s="21"/>
      <c r="D50" s="16"/>
      <c r="E50" s="17">
        <v>100</v>
      </c>
      <c r="F50" s="22" t="s">
        <v>66</v>
      </c>
      <c r="G50" s="22" t="s">
        <v>67</v>
      </c>
    </row>
    <row r="51" spans="1:7" ht="30" x14ac:dyDescent="0.25">
      <c r="A51" s="43"/>
      <c r="B51" s="25" t="s">
        <v>49</v>
      </c>
      <c r="C51" s="21">
        <v>10</v>
      </c>
      <c r="D51" s="18">
        <v>1500</v>
      </c>
      <c r="E51" s="17">
        <v>100</v>
      </c>
      <c r="F51" s="24">
        <f>C51*D51</f>
        <v>15000</v>
      </c>
      <c r="G51" s="23">
        <f>C51*E51</f>
        <v>1000</v>
      </c>
    </row>
    <row r="52" spans="1:7" x14ac:dyDescent="0.25">
      <c r="A52" s="43"/>
      <c r="B52" s="20" t="s">
        <v>50</v>
      </c>
      <c r="C52" s="21"/>
      <c r="D52" s="16" t="s">
        <v>66</v>
      </c>
      <c r="E52" s="19" t="s">
        <v>67</v>
      </c>
      <c r="F52" s="22" t="s">
        <v>67</v>
      </c>
      <c r="G52" s="22" t="s">
        <v>67</v>
      </c>
    </row>
    <row r="53" spans="1:7" x14ac:dyDescent="0.25">
      <c r="A53" s="43"/>
      <c r="B53" s="20" t="s">
        <v>51</v>
      </c>
      <c r="C53" s="21"/>
      <c r="D53" s="16" t="s">
        <v>66</v>
      </c>
      <c r="E53" s="19" t="s">
        <v>67</v>
      </c>
      <c r="F53" s="22" t="s">
        <v>67</v>
      </c>
      <c r="G53" s="22" t="s">
        <v>67</v>
      </c>
    </row>
    <row r="54" spans="1:7" x14ac:dyDescent="0.25">
      <c r="A54" s="43"/>
      <c r="B54" s="20" t="s">
        <v>52</v>
      </c>
      <c r="C54" s="21"/>
      <c r="D54" s="16" t="s">
        <v>66</v>
      </c>
      <c r="E54" s="19" t="s">
        <v>67</v>
      </c>
      <c r="F54" s="22" t="s">
        <v>67</v>
      </c>
      <c r="G54" s="22" t="s">
        <v>67</v>
      </c>
    </row>
    <row r="55" spans="1:7" x14ac:dyDescent="0.25">
      <c r="A55" s="43"/>
      <c r="B55" s="20" t="s">
        <v>53</v>
      </c>
      <c r="C55" s="21">
        <f>C44</f>
        <v>6</v>
      </c>
      <c r="D55" s="16" t="s">
        <v>66</v>
      </c>
      <c r="E55" s="17">
        <v>480</v>
      </c>
      <c r="F55" s="22" t="s">
        <v>66</v>
      </c>
      <c r="G55" s="23">
        <f>C55*E55</f>
        <v>2880</v>
      </c>
    </row>
    <row r="56" spans="1:7" ht="15.75" customHeight="1" x14ac:dyDescent="0.25">
      <c r="A56" s="42"/>
      <c r="B56" s="20" t="s">
        <v>54</v>
      </c>
      <c r="C56" s="21">
        <f>C55</f>
        <v>6</v>
      </c>
      <c r="D56" s="16" t="s">
        <v>66</v>
      </c>
      <c r="E56" s="17">
        <v>70</v>
      </c>
      <c r="F56" s="22" t="s">
        <v>66</v>
      </c>
      <c r="G56" s="23">
        <f>C56*E56</f>
        <v>420</v>
      </c>
    </row>
    <row r="57" spans="1:7" ht="7.5" customHeight="1" x14ac:dyDescent="0.25">
      <c r="A57" s="26"/>
      <c r="B57" s="20"/>
      <c r="C57" s="21"/>
      <c r="D57" s="16"/>
      <c r="E57" s="27"/>
      <c r="F57" s="22"/>
      <c r="G57" s="23"/>
    </row>
    <row r="58" spans="1:7" x14ac:dyDescent="0.25">
      <c r="A58" s="41" t="s">
        <v>68</v>
      </c>
      <c r="B58" s="20" t="s">
        <v>69</v>
      </c>
      <c r="C58" s="21">
        <v>6</v>
      </c>
      <c r="D58" s="16" t="s">
        <v>66</v>
      </c>
      <c r="E58" s="16">
        <v>180</v>
      </c>
      <c r="F58" s="22" t="s">
        <v>66</v>
      </c>
      <c r="G58" s="23">
        <f>E58*C58</f>
        <v>1080</v>
      </c>
    </row>
    <row r="59" spans="1:7" x14ac:dyDescent="0.25">
      <c r="A59" s="42"/>
      <c r="B59" s="20" t="s">
        <v>70</v>
      </c>
      <c r="C59" s="21">
        <v>6</v>
      </c>
      <c r="D59" s="16" t="s">
        <v>66</v>
      </c>
      <c r="E59" s="16">
        <v>132</v>
      </c>
      <c r="F59" s="22" t="s">
        <v>66</v>
      </c>
      <c r="G59" s="23">
        <f>E59*C59</f>
        <v>792</v>
      </c>
    </row>
    <row r="60" spans="1:7" ht="3" customHeight="1" x14ac:dyDescent="0.25"/>
    <row r="61" spans="1:7" x14ac:dyDescent="0.25">
      <c r="A61" s="35" t="s">
        <v>55</v>
      </c>
      <c r="B61" s="15" t="s">
        <v>56</v>
      </c>
      <c r="C61" s="21">
        <v>4</v>
      </c>
      <c r="D61" s="18">
        <v>300</v>
      </c>
      <c r="E61" s="19" t="s">
        <v>67</v>
      </c>
      <c r="F61" s="24">
        <f>C61*D61</f>
        <v>1200</v>
      </c>
      <c r="G61" s="23"/>
    </row>
    <row r="62" spans="1:7" x14ac:dyDescent="0.25">
      <c r="A62" s="35"/>
      <c r="B62" s="15" t="s">
        <v>57</v>
      </c>
      <c r="C62" s="21">
        <v>4</v>
      </c>
      <c r="D62" s="18">
        <v>500</v>
      </c>
      <c r="E62" s="19" t="s">
        <v>67</v>
      </c>
      <c r="F62" s="24">
        <f>C62*D62</f>
        <v>2000</v>
      </c>
      <c r="G62" s="23"/>
    </row>
    <row r="63" spans="1:7" ht="3" customHeight="1" x14ac:dyDescent="0.25"/>
    <row r="64" spans="1:7" x14ac:dyDescent="0.25">
      <c r="A64" s="6" t="s">
        <v>58</v>
      </c>
      <c r="B64" s="2"/>
      <c r="C64" s="3"/>
      <c r="D64" s="7">
        <v>0</v>
      </c>
      <c r="E64" s="14">
        <v>0</v>
      </c>
      <c r="F64" s="12">
        <v>0</v>
      </c>
      <c r="G64" s="7">
        <v>0</v>
      </c>
    </row>
    <row r="66" spans="5:7" ht="15.75" x14ac:dyDescent="0.25">
      <c r="E66" s="9" t="s">
        <v>3</v>
      </c>
      <c r="F66" s="8">
        <f>+SUM(F6:F64)</f>
        <v>51600</v>
      </c>
      <c r="G66" s="8">
        <f>+SUM(G6:G64)</f>
        <v>17672</v>
      </c>
    </row>
  </sheetData>
  <mergeCells count="24">
    <mergeCell ref="A61:A62"/>
    <mergeCell ref="D4:E4"/>
    <mergeCell ref="A24:A25"/>
    <mergeCell ref="C27:G27"/>
    <mergeCell ref="C28:G28"/>
    <mergeCell ref="C29:G29"/>
    <mergeCell ref="C30:G30"/>
    <mergeCell ref="A27:A30"/>
    <mergeCell ref="A58:A59"/>
    <mergeCell ref="A41:A56"/>
    <mergeCell ref="F4:G4"/>
    <mergeCell ref="A6:A7"/>
    <mergeCell ref="A9:A12"/>
    <mergeCell ref="A20:A22"/>
    <mergeCell ref="C22:G22"/>
    <mergeCell ref="A17:A18"/>
    <mergeCell ref="C18:G18"/>
    <mergeCell ref="A32:A35"/>
    <mergeCell ref="A37:A39"/>
    <mergeCell ref="A14:A15"/>
    <mergeCell ref="C15:G15"/>
    <mergeCell ref="C12:G12"/>
    <mergeCell ref="C20:G20"/>
    <mergeCell ref="C21:G21"/>
  </mergeCells>
  <dataValidations count="1">
    <dataValidation type="list" allowBlank="1" showInputMessage="1" showErrorMessage="1" sqref="C6:C7 C35 C24" xr:uid="{3DD80979-66EE-4185-9137-9C0310B40058}">
      <formula1>"Y/N,Yes, No,"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eec589-35c2-4233-8131-2537fd5e7fbb" xsi:nil="true"/>
    <lcf76f155ced4ddcb4097134ff3c332f xmlns="59dfe8fd-ac56-4bb9-8826-3c223bbd8e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32BF75AE54D04BA319F6A341FEB383" ma:contentTypeVersion="16" ma:contentTypeDescription="Creare un nuovo documento." ma:contentTypeScope="" ma:versionID="3d6c97079c7fba18d581bb90dd04a7d2">
  <xsd:schema xmlns:xsd="http://www.w3.org/2001/XMLSchema" xmlns:xs="http://www.w3.org/2001/XMLSchema" xmlns:p="http://schemas.microsoft.com/office/2006/metadata/properties" xmlns:ns2="59dfe8fd-ac56-4bb9-8826-3c223bbd8e15" xmlns:ns3="d1eec589-35c2-4233-8131-2537fd5e7fbb" targetNamespace="http://schemas.microsoft.com/office/2006/metadata/properties" ma:root="true" ma:fieldsID="1b39c61d96ee652324d53987307274e5" ns2:_="" ns3:_="">
    <xsd:import namespace="59dfe8fd-ac56-4bb9-8826-3c223bbd8e15"/>
    <xsd:import namespace="d1eec589-35c2-4233-8131-2537fd5e7f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fe8fd-ac56-4bb9-8826-3c223bbd8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73f09cce-301d-4dff-b0fc-b10f78d9dd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ec589-35c2-4233-8131-2537fd5e7fb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aec961-8d99-4275-87e4-756a8740344d}" ma:internalName="TaxCatchAll" ma:showField="CatchAllData" ma:web="d1eec589-35c2-4233-8131-2537fd5e7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790CE1-565C-4407-9E13-A307FB4264B9}">
  <ds:schemaRefs>
    <ds:schemaRef ds:uri="http://schemas.microsoft.com/office/2006/metadata/properties"/>
    <ds:schemaRef ds:uri="http://schemas.microsoft.com/office/infopath/2007/PartnerControls"/>
    <ds:schemaRef ds:uri="d1eec589-35c2-4233-8131-2537fd5e7fbb"/>
    <ds:schemaRef ds:uri="59dfe8fd-ac56-4bb9-8826-3c223bbd8e15"/>
  </ds:schemaRefs>
</ds:datastoreItem>
</file>

<file path=customXml/itemProps2.xml><?xml version="1.0" encoding="utf-8"?>
<ds:datastoreItem xmlns:ds="http://schemas.openxmlformats.org/officeDocument/2006/customXml" ds:itemID="{7ECE5850-1C6A-47B0-A809-120D3C769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dfe8fd-ac56-4bb9-8826-3c223bbd8e15"/>
    <ds:schemaRef ds:uri="d1eec589-35c2-4233-8131-2537fd5e7f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51397C-25ED-4EA8-9D5E-89C871CA0D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Costs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Biscotti Elena</dc:creator>
  <cp:keywords/>
  <dc:description/>
  <cp:lastModifiedBy>Rosti Andrea</cp:lastModifiedBy>
  <cp:revision/>
  <dcterms:created xsi:type="dcterms:W3CDTF">2025-03-19T14:16:40Z</dcterms:created>
  <dcterms:modified xsi:type="dcterms:W3CDTF">2026-08-04T08:31:13Z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0x0101007332BF75AE54D04BA319F6A341FEB383</vt:lpwstr>
  </property>
  <property fmtid="{D5CDD505-2E9C-101B-9397-08002B2CF9AE}" pid="3" name="MediaServiceImageTags">
    <vt:lpwstr/>
  </property>
  <property fmtid="{D5CDD505-2E9C-101B-9397-08002B2CF9AE}" pid="4" name="MSIP_Label_cfb56459-e10d-4669-82e8-6d6dabbfef0d_Enabled">
    <vt:lpwstr>true</vt:lpwstr>
  </property>
  <property fmtid="{D5CDD505-2E9C-101B-9397-08002B2CF9AE}" pid="5" name="MSIP_Label_cfb56459-e10d-4669-82e8-6d6dabbfef0d_SetDate">
    <vt:lpwstr>2026-07-29T08:57:06Z</vt:lpwstr>
  </property>
  <property fmtid="{D5CDD505-2E9C-101B-9397-08002B2CF9AE}" pid="6" name="MSIP_Label_cfb56459-e10d-4669-82e8-6d6dabbfef0d_Method">
    <vt:lpwstr>Standard</vt:lpwstr>
  </property>
  <property fmtid="{D5CDD505-2E9C-101B-9397-08002B2CF9AE}" pid="7" name="MSIP_Label_cfb56459-e10d-4669-82e8-6d6dabbfef0d_Name">
    <vt:lpwstr>PUBLIC-NEW-Test</vt:lpwstr>
  </property>
  <property fmtid="{D5CDD505-2E9C-101B-9397-08002B2CF9AE}" pid="8" name="MSIP_Label_cfb56459-e10d-4669-82e8-6d6dabbfef0d_SiteId">
    <vt:lpwstr>f99b31d1-d1f6-49f6-9d6c-02e7c477563f</vt:lpwstr>
  </property>
  <property fmtid="{D5CDD505-2E9C-101B-9397-08002B2CF9AE}" pid="9" name="MSIP_Label_cfb56459-e10d-4669-82e8-6d6dabbfef0d_ActionId">
    <vt:lpwstr>15b3538d-8e2d-4e1f-aa1a-a0feba4a3095</vt:lpwstr>
  </property>
  <property fmtid="{D5CDD505-2E9C-101B-9397-08002B2CF9AE}" pid="10" name="MSIP_Label_cfb56459-e10d-4669-82e8-6d6dabbfef0d_ContentBits">
    <vt:lpwstr>0</vt:lpwstr>
  </property>
  <property fmtid="{D5CDD505-2E9C-101B-9397-08002B2CF9AE}" pid="11" name="MSIP_Label_cfb56459-e10d-4669-82e8-6d6dabbfef0d_Tag">
    <vt:lpwstr>10, 3, 0, 1</vt:lpwstr>
  </property>
</Properties>
</file>